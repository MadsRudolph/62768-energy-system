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la\OneDrive\DTU EngTech Undervisning\62768 Elektrisk Energiteknik i praksis\62768 Elektriske Energisystemer i praksis 2023\0-Baggrundsmateriale\"/>
    </mc:Choice>
  </mc:AlternateContent>
  <bookViews>
    <workbookView xWindow="0" yWindow="0" windowWidth="23040" windowHeight="9192" activeTab="1"/>
  </bookViews>
  <sheets>
    <sheet name="lille motor" sheetId="1" r:id="rId1"/>
    <sheet name="stor mo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2" l="1"/>
  <c r="F40" i="2"/>
  <c r="F41" i="2"/>
  <c r="F42" i="2"/>
  <c r="F43" i="2"/>
  <c r="F44" i="2"/>
  <c r="F45" i="2"/>
  <c r="F38" i="2"/>
  <c r="F12" i="2"/>
  <c r="F29" i="2"/>
  <c r="K45" i="2"/>
  <c r="L45" i="2" s="1"/>
  <c r="K45" i="1"/>
  <c r="L45" i="1" s="1"/>
  <c r="K46" i="1"/>
  <c r="L46" i="1" s="1"/>
  <c r="K41" i="1"/>
  <c r="L41" i="1" s="1"/>
  <c r="J41" i="1"/>
  <c r="J42" i="1"/>
  <c r="K42" i="1" s="1"/>
  <c r="L42" i="1" s="1"/>
  <c r="J43" i="1"/>
  <c r="K43" i="1" s="1"/>
  <c r="L43" i="1" s="1"/>
  <c r="J44" i="1"/>
  <c r="K44" i="1" s="1"/>
  <c r="L44" i="1" s="1"/>
  <c r="J45" i="1"/>
  <c r="J44" i="2" l="1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C45" i="1"/>
  <c r="C44" i="1"/>
  <c r="C43" i="1"/>
  <c r="C42" i="1"/>
  <c r="C41" i="1"/>
  <c r="C40" i="1"/>
  <c r="C39" i="1"/>
  <c r="J40" i="1"/>
  <c r="J39" i="1"/>
  <c r="J21" i="2"/>
  <c r="J22" i="2"/>
  <c r="J23" i="2"/>
  <c r="J24" i="2"/>
  <c r="J25" i="2"/>
  <c r="J26" i="2"/>
  <c r="J27" i="2"/>
  <c r="J28" i="2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20" i="2"/>
  <c r="J5" i="2"/>
  <c r="K5" i="2" s="1"/>
  <c r="J23" i="1"/>
  <c r="J24" i="1"/>
  <c r="J25" i="1"/>
  <c r="J26" i="1"/>
  <c r="J27" i="1"/>
  <c r="J28" i="1"/>
  <c r="J22" i="1"/>
  <c r="J6" i="1"/>
  <c r="J7" i="1"/>
  <c r="J8" i="1"/>
  <c r="J9" i="1"/>
  <c r="J10" i="1"/>
  <c r="J11" i="1"/>
  <c r="J5" i="1"/>
  <c r="C22" i="1"/>
  <c r="C23" i="1"/>
  <c r="C24" i="1"/>
  <c r="C25" i="1"/>
  <c r="C26" i="1"/>
  <c r="C27" i="1"/>
  <c r="L28" i="1"/>
  <c r="F28" i="1"/>
  <c r="C28" i="1"/>
  <c r="L27" i="1"/>
  <c r="F27" i="1"/>
  <c r="L26" i="1"/>
  <c r="F26" i="1"/>
  <c r="L25" i="1"/>
  <c r="F25" i="1"/>
  <c r="L24" i="1"/>
  <c r="F24" i="1"/>
  <c r="L23" i="1"/>
  <c r="F23" i="1"/>
  <c r="L22" i="1"/>
  <c r="F22" i="1"/>
  <c r="L11" i="1"/>
  <c r="F11" i="1"/>
  <c r="C11" i="1"/>
  <c r="L10" i="1"/>
  <c r="F10" i="1"/>
  <c r="C10" i="1"/>
  <c r="L9" i="1"/>
  <c r="F9" i="1"/>
  <c r="C9" i="1"/>
  <c r="L8" i="1"/>
  <c r="F8" i="1"/>
  <c r="C8" i="1"/>
  <c r="L7" i="1"/>
  <c r="F7" i="1"/>
  <c r="C7" i="1"/>
  <c r="L6" i="1"/>
  <c r="F6" i="1"/>
  <c r="C6" i="1"/>
  <c r="L5" i="1"/>
  <c r="F5" i="1"/>
  <c r="C5" i="1"/>
  <c r="L6" i="2"/>
  <c r="L7" i="2"/>
  <c r="L8" i="2"/>
  <c r="L9" i="2"/>
  <c r="L10" i="2"/>
  <c r="L11" i="2"/>
  <c r="L5" i="2"/>
  <c r="F21" i="2"/>
  <c r="F22" i="2"/>
  <c r="F23" i="2"/>
  <c r="F24" i="2"/>
  <c r="F25" i="2"/>
  <c r="F26" i="2"/>
  <c r="F27" i="2"/>
  <c r="F28" i="2"/>
  <c r="F20" i="2"/>
  <c r="C20" i="2"/>
  <c r="C21" i="2"/>
  <c r="C28" i="2"/>
  <c r="C27" i="2"/>
  <c r="C26" i="2"/>
  <c r="C25" i="2"/>
  <c r="C24" i="2"/>
  <c r="G24" i="2" s="1"/>
  <c r="C23" i="2"/>
  <c r="C22" i="2"/>
  <c r="F6" i="2"/>
  <c r="F7" i="2"/>
  <c r="F8" i="2"/>
  <c r="F9" i="2"/>
  <c r="F10" i="2"/>
  <c r="F11" i="2"/>
  <c r="F5" i="2"/>
  <c r="C6" i="2"/>
  <c r="G6" i="2" s="1"/>
  <c r="C7" i="2"/>
  <c r="C8" i="2"/>
  <c r="C9" i="2"/>
  <c r="C10" i="2"/>
  <c r="C11" i="2"/>
  <c r="C5" i="2"/>
  <c r="K44" i="2" l="1"/>
  <c r="L44" i="2"/>
  <c r="K43" i="2"/>
  <c r="L43" i="2"/>
  <c r="K42" i="2"/>
  <c r="L42" i="2"/>
  <c r="K41" i="2"/>
  <c r="L41" i="2"/>
  <c r="L40" i="2"/>
  <c r="K40" i="2"/>
  <c r="K39" i="2"/>
  <c r="L39" i="2"/>
  <c r="L38" i="2"/>
  <c r="K38" i="2"/>
  <c r="L28" i="2"/>
  <c r="K28" i="2"/>
  <c r="K27" i="2"/>
  <c r="L27" i="2"/>
  <c r="L26" i="2"/>
  <c r="K26" i="2"/>
  <c r="K25" i="2"/>
  <c r="L25" i="2"/>
  <c r="K24" i="2"/>
  <c r="L24" i="2"/>
  <c r="L23" i="2"/>
  <c r="K23" i="2"/>
  <c r="L22" i="2"/>
  <c r="K22" i="2"/>
  <c r="K21" i="2"/>
  <c r="L21" i="2"/>
  <c r="K20" i="2"/>
  <c r="L20" i="2"/>
  <c r="G20" i="2"/>
  <c r="G11" i="2"/>
  <c r="G10" i="2"/>
  <c r="G9" i="2"/>
  <c r="G8" i="2"/>
  <c r="G7" i="2"/>
  <c r="G5" i="2"/>
  <c r="G10" i="1"/>
  <c r="G23" i="1"/>
  <c r="G26" i="1"/>
  <c r="G24" i="1"/>
  <c r="G27" i="1"/>
  <c r="G22" i="1"/>
  <c r="G25" i="1"/>
  <c r="G28" i="1"/>
  <c r="G8" i="1"/>
  <c r="G5" i="1"/>
  <c r="G11" i="1"/>
  <c r="G9" i="1"/>
  <c r="G6" i="1"/>
  <c r="G7" i="1"/>
  <c r="G28" i="2"/>
  <c r="G25" i="2"/>
  <c r="G21" i="2"/>
  <c r="G27" i="2"/>
  <c r="G22" i="2"/>
  <c r="G26" i="2"/>
  <c r="G23" i="2"/>
</calcChain>
</file>

<file path=xl/comments1.xml><?xml version="1.0" encoding="utf-8"?>
<comments xmlns="http://schemas.openxmlformats.org/spreadsheetml/2006/main">
  <authors>
    <author>Esben Larsen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Esben Larsen: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Esben Larsen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Esben Larsen: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>Esben Larsen: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<sst xmlns="http://schemas.openxmlformats.org/spreadsheetml/2006/main" count="126" uniqueCount="21">
  <si>
    <t>power supply</t>
  </si>
  <si>
    <t>U</t>
  </si>
  <si>
    <t>I</t>
  </si>
  <si>
    <t>Power</t>
  </si>
  <si>
    <t>[V]</t>
  </si>
  <si>
    <t>[A]</t>
  </si>
  <si>
    <t>[W]</t>
  </si>
  <si>
    <t>Generator</t>
  </si>
  <si>
    <r>
      <t xml:space="preserve">load 10 </t>
    </r>
    <r>
      <rPr>
        <sz val="11"/>
        <color theme="1"/>
        <rFont val="Calibri"/>
        <family val="2"/>
      </rPr>
      <t>Ω</t>
    </r>
  </si>
  <si>
    <t>frekvens</t>
  </si>
  <si>
    <t>[Hz]</t>
  </si>
  <si>
    <t>omdr</t>
  </si>
  <si>
    <t>[rev/min]</t>
  </si>
  <si>
    <t>Virkningsgrad</t>
  </si>
  <si>
    <t>[%]</t>
  </si>
  <si>
    <r>
      <t xml:space="preserve">load 22 </t>
    </r>
    <r>
      <rPr>
        <sz val="11"/>
        <color theme="1"/>
        <rFont val="Calibri"/>
        <family val="2"/>
      </rPr>
      <t>Ω</t>
    </r>
  </si>
  <si>
    <t>U/f*1000</t>
  </si>
  <si>
    <t>14 p</t>
  </si>
  <si>
    <t>no load</t>
  </si>
  <si>
    <t>U line</t>
  </si>
  <si>
    <t>U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</si>
</sst>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Induction characteristic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446412948381452"/>
                  <c:y val="-8.65813648293963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'lille motor'!$K$41:$K$46</c:f>
              <c:numCache>
                <c:formatCode>General</c:formatCode>
                <c:ptCount val="6"/>
                <c:pt idx="0">
                  <c:v>10.491428571428571</c:v>
                </c:pt>
                <c:pt idx="1">
                  <c:v>8.7685714285714287</c:v>
                </c:pt>
                <c:pt idx="2">
                  <c:v>6.9128571428571428</c:v>
                </c:pt>
                <c:pt idx="3">
                  <c:v>5.1255428571428574</c:v>
                </c:pt>
                <c:pt idx="4">
                  <c:v>3.4894285714285718</c:v>
                </c:pt>
                <c:pt idx="5">
                  <c:v>0</c:v>
                </c:pt>
              </c:numCache>
            </c:numRef>
          </c:xVal>
          <c:yVal>
            <c:numRef>
              <c:f>'lille motor'!$E$41:$E$46</c:f>
              <c:numCache>
                <c:formatCode>0.00</c:formatCode>
                <c:ptCount val="6"/>
                <c:pt idx="0">
                  <c:v>8.06</c:v>
                </c:pt>
                <c:pt idx="1">
                  <c:v>6.74</c:v>
                </c:pt>
                <c:pt idx="2">
                  <c:v>5.35</c:v>
                </c:pt>
                <c:pt idx="3">
                  <c:v>3.94</c:v>
                </c:pt>
                <c:pt idx="4">
                  <c:v>2.67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21-486A-A997-0A3623EE9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8944"/>
        <c:axId val="289973928"/>
      </c:scatterChart>
      <c:valAx>
        <c:axId val="35013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973928"/>
        <c:crosses val="autoZero"/>
        <c:crossBetween val="midCat"/>
      </c:valAx>
      <c:valAx>
        <c:axId val="28997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'lille motor'!$A$41:$A$46</c:f>
              <c:numCache>
                <c:formatCode>0.0</c:formatCode>
                <c:ptCount val="6"/>
                <c:pt idx="0">
                  <c:v>9.5</c:v>
                </c:pt>
                <c:pt idx="1">
                  <c:v>8</c:v>
                </c:pt>
                <c:pt idx="2">
                  <c:v>6.5</c:v>
                </c:pt>
                <c:pt idx="3">
                  <c:v>5</c:v>
                </c:pt>
                <c:pt idx="4">
                  <c:v>3.5</c:v>
                </c:pt>
                <c:pt idx="5">
                  <c:v>0</c:v>
                </c:pt>
              </c:numCache>
            </c:numRef>
          </c:xVal>
          <c:yVal>
            <c:numRef>
              <c:f>'lille motor'!$J$41:$J$46</c:f>
              <c:numCache>
                <c:formatCode>0</c:formatCode>
                <c:ptCount val="6"/>
                <c:pt idx="0">
                  <c:v>10491.428571428571</c:v>
                </c:pt>
                <c:pt idx="1">
                  <c:v>8768.5714285714294</c:v>
                </c:pt>
                <c:pt idx="2">
                  <c:v>6912.8571428571431</c:v>
                </c:pt>
                <c:pt idx="3">
                  <c:v>5125.5428571428574</c:v>
                </c:pt>
                <c:pt idx="4">
                  <c:v>3489.4285714285716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F-480B-9B07-14EC4EA6E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638344"/>
        <c:axId val="290780744"/>
      </c:scatterChart>
      <c:valAx>
        <c:axId val="29163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80744"/>
        <c:crosses val="autoZero"/>
        <c:crossBetween val="midCat"/>
      </c:valAx>
      <c:valAx>
        <c:axId val="29078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38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Induction characteristic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 motor'!$K$38:$K$46</c:f>
              <c:numCache>
                <c:formatCode>General</c:formatCode>
                <c:ptCount val="9"/>
                <c:pt idx="0">
                  <c:v>5.9742857142857151</c:v>
                </c:pt>
                <c:pt idx="1">
                  <c:v>5.2457142857142856</c:v>
                </c:pt>
                <c:pt idx="2">
                  <c:v>4.4828571428571431</c:v>
                </c:pt>
                <c:pt idx="3">
                  <c:v>3.8828571428571426</c:v>
                </c:pt>
                <c:pt idx="4">
                  <c:v>3.0171428571428573</c:v>
                </c:pt>
                <c:pt idx="5">
                  <c:v>2.2885714285714283</c:v>
                </c:pt>
                <c:pt idx="6">
                  <c:v>1.4657142857142857</c:v>
                </c:pt>
                <c:pt idx="7">
                  <c:v>0</c:v>
                </c:pt>
              </c:numCache>
            </c:numRef>
          </c:xVal>
          <c:yVal>
            <c:numRef>
              <c:f>'stor motor'!$E$38:$E$46</c:f>
              <c:numCache>
                <c:formatCode>General</c:formatCode>
                <c:ptCount val="9"/>
                <c:pt idx="0">
                  <c:v>4.7300000000000004</c:v>
                </c:pt>
                <c:pt idx="1">
                  <c:v>4.1399999999999997</c:v>
                </c:pt>
                <c:pt idx="2" formatCode="0.00">
                  <c:v>3.52</c:v>
                </c:pt>
                <c:pt idx="3" formatCode="0.00">
                  <c:v>2.93</c:v>
                </c:pt>
                <c:pt idx="4" formatCode="0.00">
                  <c:v>2.38</c:v>
                </c:pt>
                <c:pt idx="5" formatCode="0.00">
                  <c:v>1.8</c:v>
                </c:pt>
                <c:pt idx="6" formatCode="0.00">
                  <c:v>1.1499999999999999</c:v>
                </c:pt>
                <c:pt idx="7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B8-4310-9CAE-0DE9D2A30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834136"/>
        <c:axId val="125468976"/>
      </c:scatterChart>
      <c:valAx>
        <c:axId val="35083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8976"/>
        <c:crosses val="autoZero"/>
        <c:crossBetween val="midCat"/>
      </c:valAx>
      <c:valAx>
        <c:axId val="1254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834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Induction characteristic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 motor'!$K$20:$K$29</c:f>
              <c:numCache>
                <c:formatCode>General</c:formatCode>
                <c:ptCount val="10"/>
                <c:pt idx="0">
                  <c:v>9.3257142857142856</c:v>
                </c:pt>
                <c:pt idx="1">
                  <c:v>8.34</c:v>
                </c:pt>
                <c:pt idx="2">
                  <c:v>5.7685714285714287</c:v>
                </c:pt>
                <c:pt idx="3">
                  <c:v>5.0828571428571427</c:v>
                </c:pt>
                <c:pt idx="4">
                  <c:v>4.3714285714285719</c:v>
                </c:pt>
                <c:pt idx="5">
                  <c:v>3.6257142857142859</c:v>
                </c:pt>
                <c:pt idx="6">
                  <c:v>2.8885714285714283</c:v>
                </c:pt>
                <c:pt idx="7">
                  <c:v>2.1771428571428575</c:v>
                </c:pt>
                <c:pt idx="8">
                  <c:v>1.4228571428571428</c:v>
                </c:pt>
                <c:pt idx="9">
                  <c:v>0</c:v>
                </c:pt>
              </c:numCache>
            </c:numRef>
          </c:xVal>
          <c:yVal>
            <c:numRef>
              <c:f>'stor motor'!$E$20:$E$29</c:f>
              <c:numCache>
                <c:formatCode>General</c:formatCode>
                <c:ptCount val="10"/>
                <c:pt idx="0">
                  <c:v>7.29</c:v>
                </c:pt>
                <c:pt idx="1">
                  <c:v>6.52</c:v>
                </c:pt>
                <c:pt idx="2">
                  <c:v>4.53</c:v>
                </c:pt>
                <c:pt idx="3">
                  <c:v>3.96</c:v>
                </c:pt>
                <c:pt idx="4" formatCode="0.00">
                  <c:v>3.4</c:v>
                </c:pt>
                <c:pt idx="5" formatCode="0.00">
                  <c:v>2.83</c:v>
                </c:pt>
                <c:pt idx="6" formatCode="0.00">
                  <c:v>2.2599999999999998</c:v>
                </c:pt>
                <c:pt idx="7" formatCode="0.00">
                  <c:v>1.7</c:v>
                </c:pt>
                <c:pt idx="8" formatCode="0.00">
                  <c:v>1.1100000000000001</c:v>
                </c:pt>
                <c:pt idx="9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21-401D-B233-69C286CD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951664"/>
        <c:axId val="351068696"/>
      </c:scatterChart>
      <c:valAx>
        <c:axId val="3499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68696"/>
        <c:crosses val="autoZero"/>
        <c:crossBetween val="midCat"/>
      </c:valAx>
      <c:valAx>
        <c:axId val="35106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5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Induction characteristic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'stor motor'!$K$5:$K$12</c:f>
              <c:numCache>
                <c:formatCode>General</c:formatCode>
                <c:ptCount val="8"/>
                <c:pt idx="0">
                  <c:v>5.5285714285714285</c:v>
                </c:pt>
                <c:pt idx="1">
                  <c:v>4.8428571428571434</c:v>
                </c:pt>
                <c:pt idx="2">
                  <c:v>4.1571428571428566</c:v>
                </c:pt>
                <c:pt idx="3">
                  <c:v>3.6171428571428574</c:v>
                </c:pt>
                <c:pt idx="4">
                  <c:v>2.88</c:v>
                </c:pt>
                <c:pt idx="5">
                  <c:v>2.0142857142857142</c:v>
                </c:pt>
                <c:pt idx="6">
                  <c:v>1.3457142857142859</c:v>
                </c:pt>
                <c:pt idx="7">
                  <c:v>0</c:v>
                </c:pt>
              </c:numCache>
            </c:numRef>
          </c:xVal>
          <c:yVal>
            <c:numRef>
              <c:f>'stor motor'!$E$5:$E$12</c:f>
              <c:numCache>
                <c:formatCode>0.00</c:formatCode>
                <c:ptCount val="8"/>
                <c:pt idx="0">
                  <c:v>4.29</c:v>
                </c:pt>
                <c:pt idx="1">
                  <c:v>3.79</c:v>
                </c:pt>
                <c:pt idx="2">
                  <c:v>3.21</c:v>
                </c:pt>
                <c:pt idx="3">
                  <c:v>2.65</c:v>
                </c:pt>
                <c:pt idx="4">
                  <c:v>2.13</c:v>
                </c:pt>
                <c:pt idx="5">
                  <c:v>1.56</c:v>
                </c:pt>
                <c:pt idx="6">
                  <c:v>1.07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B0-487B-8429-6562C9EB4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673528"/>
        <c:axId val="125597768"/>
      </c:scatterChart>
      <c:valAx>
        <c:axId val="2896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7768"/>
        <c:crosses val="autoZero"/>
        <c:crossBetween val="midCat"/>
      </c:valAx>
      <c:valAx>
        <c:axId val="12559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73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47</xdr:row>
      <xdr:rowOff>112920</xdr:rowOff>
    </xdr:from>
    <xdr:to>
      <xdr:col>11</xdr:col>
      <xdr:colOff>388620</xdr:colOff>
      <xdr:row>54</xdr:row>
      <xdr:rowOff>60960</xdr:rowOff>
    </xdr:to>
    <xdr:pic>
      <xdr:nvPicPr>
        <xdr:cNvPr id="2" name="Picture 1" descr="image0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59"/>
        <a:stretch/>
      </xdr:blipFill>
      <xdr:spPr bwMode="auto">
        <a:xfrm>
          <a:off x="678180" y="8708280"/>
          <a:ext cx="6416040" cy="122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144780</xdr:colOff>
      <xdr:row>30</xdr:row>
      <xdr:rowOff>15240</xdr:rowOff>
    </xdr:from>
    <xdr:to>
      <xdr:col>21</xdr:col>
      <xdr:colOff>449580</xdr:colOff>
      <xdr:row>45</xdr:row>
      <xdr:rowOff>15240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419100</xdr:colOff>
      <xdr:row>45</xdr:row>
      <xdr:rowOff>99060</xdr:rowOff>
    </xdr:from>
    <xdr:to>
      <xdr:col>20</xdr:col>
      <xdr:colOff>114300</xdr:colOff>
      <xdr:row>60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36</xdr:row>
      <xdr:rowOff>175260</xdr:rowOff>
    </xdr:from>
    <xdr:to>
      <xdr:col>20</xdr:col>
      <xdr:colOff>342900</xdr:colOff>
      <xdr:row>51</xdr:row>
      <xdr:rowOff>175260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15</xdr:row>
      <xdr:rowOff>137160</xdr:rowOff>
    </xdr:from>
    <xdr:to>
      <xdr:col>20</xdr:col>
      <xdr:colOff>327660</xdr:colOff>
      <xdr:row>30</xdr:row>
      <xdr:rowOff>137160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20</xdr:col>
      <xdr:colOff>304800</xdr:colOff>
      <xdr:row>17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396240</xdr:colOff>
      <xdr:row>50</xdr:row>
      <xdr:rowOff>102799</xdr:rowOff>
    </xdr:from>
    <xdr:to>
      <xdr:col>11</xdr:col>
      <xdr:colOff>426720</xdr:colOff>
      <xdr:row>57</xdr:row>
      <xdr:rowOff>129541</xdr:rowOff>
    </xdr:to>
    <xdr:pic>
      <xdr:nvPicPr>
        <xdr:cNvPr id="5" name="Picture 4" descr="image0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208"/>
        <a:stretch/>
      </xdr:blipFill>
      <xdr:spPr bwMode="auto">
        <a:xfrm>
          <a:off x="396240" y="9246799"/>
          <a:ext cx="6736080" cy="1306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6"/>
  <sheetViews>
    <sheetView topLeftCell="A13" workbookViewId="0">
      <selection activeCell="J41" activeCellId="1" sqref="A41:A46 J41:J46"/>
    </sheetView>
  </sheetViews>
  <sheetFormatPr defaultRowHeight="14.4" x14ac:dyDescent="0.3"/>
  <sheetData>
    <row r="1" spans="1:12" x14ac:dyDescent="0.3">
      <c r="A1" t="s">
        <v>0</v>
      </c>
      <c r="E1" t="s">
        <v>7</v>
      </c>
      <c r="F1" t="s">
        <v>8</v>
      </c>
      <c r="J1" t="s">
        <v>17</v>
      </c>
    </row>
    <row r="2" spans="1:12" x14ac:dyDescent="0.3">
      <c r="A2" t="s">
        <v>1</v>
      </c>
      <c r="B2" t="s">
        <v>2</v>
      </c>
      <c r="C2" t="s">
        <v>3</v>
      </c>
      <c r="E2" t="s">
        <v>1</v>
      </c>
      <c r="F2" t="s">
        <v>3</v>
      </c>
      <c r="G2" t="s">
        <v>13</v>
      </c>
      <c r="I2" t="s">
        <v>9</v>
      </c>
      <c r="J2" t="s">
        <v>11</v>
      </c>
      <c r="L2" t="s">
        <v>16</v>
      </c>
    </row>
    <row r="3" spans="1:12" x14ac:dyDescent="0.3">
      <c r="A3" t="s">
        <v>4</v>
      </c>
      <c r="B3" t="s">
        <v>5</v>
      </c>
      <c r="C3" t="s">
        <v>6</v>
      </c>
      <c r="E3" t="s">
        <v>4</v>
      </c>
      <c r="F3" t="s">
        <v>6</v>
      </c>
      <c r="G3" t="s">
        <v>14</v>
      </c>
      <c r="I3" t="s">
        <v>10</v>
      </c>
      <c r="J3" t="s">
        <v>12</v>
      </c>
    </row>
    <row r="5" spans="1:12" x14ac:dyDescent="0.3">
      <c r="A5" s="1">
        <v>12.5</v>
      </c>
      <c r="B5" s="2">
        <v>3.09</v>
      </c>
      <c r="C5" s="2">
        <f>A5*B5</f>
        <v>38.625</v>
      </c>
      <c r="E5" s="2">
        <v>7.11</v>
      </c>
      <c r="F5" s="2">
        <f>3*E5*E5/10</f>
        <v>15.165630000000002</v>
      </c>
      <c r="G5" s="1">
        <f t="shared" ref="G5:G11" si="0">F5/C5*100</f>
        <v>39.263766990291266</v>
      </c>
      <c r="I5">
        <v>1055</v>
      </c>
      <c r="J5" s="4">
        <f>120*I5/14</f>
        <v>9042.8571428571431</v>
      </c>
      <c r="L5" s="3">
        <f t="shared" ref="L5:L11" si="1">E5/I5*1000</f>
        <v>6.7393364928909953</v>
      </c>
    </row>
    <row r="6" spans="1:12" x14ac:dyDescent="0.3">
      <c r="A6" s="1">
        <v>11</v>
      </c>
      <c r="B6" s="2">
        <v>2.74</v>
      </c>
      <c r="C6" s="2">
        <f t="shared" ref="C6:C11" si="2">A6*B6</f>
        <v>30.14</v>
      </c>
      <c r="E6" s="2">
        <v>6.32</v>
      </c>
      <c r="F6" s="2">
        <f t="shared" ref="F6:F11" si="3">3*E6*E6/10</f>
        <v>11.98272</v>
      </c>
      <c r="G6" s="1">
        <f t="shared" si="0"/>
        <v>39.756867949568679</v>
      </c>
      <c r="I6">
        <v>990.4</v>
      </c>
      <c r="J6" s="4">
        <f t="shared" ref="J6:J11" si="4">120*I6/14</f>
        <v>8489.1428571428569</v>
      </c>
      <c r="L6" s="3">
        <f t="shared" si="1"/>
        <v>6.381260096930534</v>
      </c>
    </row>
    <row r="7" spans="1:12" x14ac:dyDescent="0.3">
      <c r="A7" s="1">
        <v>9.5</v>
      </c>
      <c r="B7" s="2">
        <v>2.46</v>
      </c>
      <c r="C7" s="2">
        <f t="shared" si="2"/>
        <v>23.37</v>
      </c>
      <c r="E7" s="2">
        <v>5.61</v>
      </c>
      <c r="F7" s="2">
        <f t="shared" si="3"/>
        <v>9.4416300000000017</v>
      </c>
      <c r="G7" s="1">
        <f t="shared" si="0"/>
        <v>40.400641848523755</v>
      </c>
      <c r="I7">
        <v>871</v>
      </c>
      <c r="J7" s="4">
        <f t="shared" si="4"/>
        <v>7465.7142857142853</v>
      </c>
      <c r="L7" s="3">
        <f t="shared" si="1"/>
        <v>6.4408725602755457</v>
      </c>
    </row>
    <row r="8" spans="1:12" x14ac:dyDescent="0.3">
      <c r="A8" s="1">
        <v>8</v>
      </c>
      <c r="B8" s="2">
        <v>2.13</v>
      </c>
      <c r="C8" s="2">
        <f t="shared" si="2"/>
        <v>17.04</v>
      </c>
      <c r="E8" s="2">
        <v>4.7300000000000004</v>
      </c>
      <c r="F8" s="2">
        <f t="shared" si="3"/>
        <v>6.711870000000002</v>
      </c>
      <c r="G8" s="1">
        <f t="shared" si="0"/>
        <v>39.388908450704243</v>
      </c>
      <c r="I8">
        <v>737.7</v>
      </c>
      <c r="J8" s="4">
        <f t="shared" si="4"/>
        <v>6323.1428571428569</v>
      </c>
      <c r="L8" s="3">
        <f t="shared" si="1"/>
        <v>6.4118205232479335</v>
      </c>
    </row>
    <row r="9" spans="1:12" x14ac:dyDescent="0.3">
      <c r="A9" s="1">
        <v>6.5</v>
      </c>
      <c r="B9" s="2">
        <v>1.79</v>
      </c>
      <c r="C9" s="2">
        <f t="shared" si="2"/>
        <v>11.635</v>
      </c>
      <c r="E9" s="2">
        <v>3.84</v>
      </c>
      <c r="F9" s="2">
        <f t="shared" si="3"/>
        <v>4.4236799999999992</v>
      </c>
      <c r="G9" s="1">
        <f t="shared" si="0"/>
        <v>38.020455522131492</v>
      </c>
      <c r="I9">
        <v>596</v>
      </c>
      <c r="J9" s="4">
        <f t="shared" si="4"/>
        <v>5108.5714285714284</v>
      </c>
      <c r="L9" s="3">
        <f t="shared" si="1"/>
        <v>6.4429530201342278</v>
      </c>
    </row>
    <row r="10" spans="1:12" x14ac:dyDescent="0.3">
      <c r="A10" s="1">
        <v>5</v>
      </c>
      <c r="B10" s="2">
        <v>1.45</v>
      </c>
      <c r="C10" s="2">
        <f t="shared" si="2"/>
        <v>7.25</v>
      </c>
      <c r="E10" s="2">
        <v>2.9590000000000001</v>
      </c>
      <c r="F10" s="2">
        <f t="shared" si="3"/>
        <v>2.6267043000000001</v>
      </c>
      <c r="G10" s="1">
        <f t="shared" si="0"/>
        <v>36.230404137931039</v>
      </c>
      <c r="I10">
        <v>459.8</v>
      </c>
      <c r="J10" s="4">
        <f t="shared" si="4"/>
        <v>3941.1428571428573</v>
      </c>
      <c r="L10" s="3">
        <f t="shared" si="1"/>
        <v>6.4354066985645932</v>
      </c>
    </row>
    <row r="11" spans="1:12" x14ac:dyDescent="0.3">
      <c r="A11" s="1">
        <v>3.5</v>
      </c>
      <c r="B11" s="2">
        <v>1.08</v>
      </c>
      <c r="C11" s="2">
        <f t="shared" si="2"/>
        <v>3.7800000000000002</v>
      </c>
      <c r="E11" s="2">
        <v>1.9530000000000001</v>
      </c>
      <c r="F11" s="2">
        <f t="shared" si="3"/>
        <v>1.1442627000000001</v>
      </c>
      <c r="G11" s="1">
        <f t="shared" si="0"/>
        <v>30.2715</v>
      </c>
      <c r="I11">
        <v>303.5</v>
      </c>
      <c r="J11" s="4">
        <f t="shared" si="4"/>
        <v>2601.4285714285716</v>
      </c>
      <c r="L11" s="3">
        <f t="shared" si="1"/>
        <v>6.434925864909391</v>
      </c>
    </row>
    <row r="12" spans="1:12" x14ac:dyDescent="0.3">
      <c r="L12" s="3"/>
    </row>
    <row r="13" spans="1:12" x14ac:dyDescent="0.3">
      <c r="L13" s="3"/>
    </row>
    <row r="14" spans="1:12" x14ac:dyDescent="0.3">
      <c r="L14" s="3"/>
    </row>
    <row r="15" spans="1:12" x14ac:dyDescent="0.3">
      <c r="L15" s="3"/>
    </row>
    <row r="16" spans="1:12" x14ac:dyDescent="0.3">
      <c r="A16" t="s">
        <v>0</v>
      </c>
      <c r="E16" t="s">
        <v>7</v>
      </c>
      <c r="F16" t="s">
        <v>15</v>
      </c>
      <c r="J16" t="s">
        <v>17</v>
      </c>
      <c r="L16" s="3"/>
    </row>
    <row r="17" spans="1:12" x14ac:dyDescent="0.3">
      <c r="A17" t="s">
        <v>1</v>
      </c>
      <c r="B17" t="s">
        <v>2</v>
      </c>
      <c r="C17" t="s">
        <v>3</v>
      </c>
      <c r="E17" t="s">
        <v>1</v>
      </c>
      <c r="F17" t="s">
        <v>3</v>
      </c>
      <c r="G17" t="s">
        <v>13</v>
      </c>
      <c r="I17" t="s">
        <v>9</v>
      </c>
      <c r="J17" t="s">
        <v>11</v>
      </c>
      <c r="L17" t="s">
        <v>16</v>
      </c>
    </row>
    <row r="18" spans="1:12" x14ac:dyDescent="0.3">
      <c r="A18" t="s">
        <v>4</v>
      </c>
      <c r="B18" t="s">
        <v>5</v>
      </c>
      <c r="C18" t="s">
        <v>6</v>
      </c>
      <c r="E18" t="s">
        <v>4</v>
      </c>
      <c r="F18" t="s">
        <v>6</v>
      </c>
      <c r="G18" t="s">
        <v>14</v>
      </c>
      <c r="I18" t="s">
        <v>10</v>
      </c>
      <c r="J18" t="s">
        <v>12</v>
      </c>
      <c r="L18" s="3"/>
    </row>
    <row r="19" spans="1:12" x14ac:dyDescent="0.3">
      <c r="L19" s="3"/>
    </row>
    <row r="20" spans="1:12" x14ac:dyDescent="0.3">
      <c r="C20" s="2"/>
      <c r="F20" s="2"/>
      <c r="G20" s="1"/>
      <c r="L20" s="3"/>
    </row>
    <row r="21" spans="1:12" x14ac:dyDescent="0.3">
      <c r="C21" s="2"/>
      <c r="F21" s="2"/>
      <c r="G21" s="1"/>
      <c r="L21" s="3"/>
    </row>
    <row r="22" spans="1:12" x14ac:dyDescent="0.3">
      <c r="A22" s="1">
        <v>12.5</v>
      </c>
      <c r="B22" s="2">
        <v>2.23</v>
      </c>
      <c r="C22" s="2">
        <f t="shared" ref="C22:C27" si="5">A22*B22</f>
        <v>27.875</v>
      </c>
      <c r="E22">
        <v>8.84</v>
      </c>
      <c r="F22" s="2">
        <f t="shared" ref="F22:F28" si="6">3*E22*E22/22</f>
        <v>10.656218181818183</v>
      </c>
      <c r="G22" s="1">
        <f t="shared" ref="G22:G28" si="7">F22/C22*100</f>
        <v>38.228585405625772</v>
      </c>
      <c r="I22">
        <v>1357</v>
      </c>
      <c r="J22" s="4">
        <f>120*I22/14</f>
        <v>11631.428571428571</v>
      </c>
      <c r="L22" s="3">
        <f t="shared" ref="L22:L28" si="8">E22/I22*1000</f>
        <v>6.5143699336772292</v>
      </c>
    </row>
    <row r="23" spans="1:12" x14ac:dyDescent="0.3">
      <c r="A23" s="1">
        <v>11</v>
      </c>
      <c r="B23" s="2">
        <v>1.99</v>
      </c>
      <c r="C23" s="2">
        <f t="shared" si="5"/>
        <v>21.89</v>
      </c>
      <c r="E23">
        <v>7.95</v>
      </c>
      <c r="F23" s="2">
        <f t="shared" si="6"/>
        <v>8.6185227272727278</v>
      </c>
      <c r="G23" s="1">
        <f t="shared" si="7"/>
        <v>39.371963121392085</v>
      </c>
      <c r="I23">
        <v>1213</v>
      </c>
      <c r="J23" s="4">
        <f t="shared" ref="J23:J28" si="9">120*I23/14</f>
        <v>10397.142857142857</v>
      </c>
      <c r="L23" s="3">
        <f t="shared" si="8"/>
        <v>6.5539983511953839</v>
      </c>
    </row>
    <row r="24" spans="1:12" x14ac:dyDescent="0.3">
      <c r="A24" s="1">
        <v>9.5</v>
      </c>
      <c r="B24" s="2">
        <v>1.76</v>
      </c>
      <c r="C24" s="2">
        <f t="shared" si="5"/>
        <v>16.72</v>
      </c>
      <c r="E24" s="2">
        <v>6.9</v>
      </c>
      <c r="F24" s="2">
        <f t="shared" si="6"/>
        <v>6.492272727272729</v>
      </c>
      <c r="G24" s="1">
        <f t="shared" si="7"/>
        <v>38.829382340147909</v>
      </c>
      <c r="I24">
        <v>1051</v>
      </c>
      <c r="J24" s="4">
        <f t="shared" si="9"/>
        <v>9008.5714285714294</v>
      </c>
      <c r="L24" s="3">
        <f t="shared" si="8"/>
        <v>6.565176022835395</v>
      </c>
    </row>
    <row r="25" spans="1:12" x14ac:dyDescent="0.3">
      <c r="A25" s="1">
        <v>8</v>
      </c>
      <c r="B25" s="2">
        <v>1.51</v>
      </c>
      <c r="C25" s="2">
        <f t="shared" si="5"/>
        <v>12.08</v>
      </c>
      <c r="E25" s="2">
        <v>5.75</v>
      </c>
      <c r="F25" s="2">
        <f t="shared" si="6"/>
        <v>4.5085227272727275</v>
      </c>
      <c r="G25" s="1">
        <f t="shared" si="7"/>
        <v>37.322208007224567</v>
      </c>
      <c r="I25">
        <v>880.8</v>
      </c>
      <c r="J25" s="4">
        <f t="shared" si="9"/>
        <v>7549.7142857142853</v>
      </c>
      <c r="L25" s="3">
        <f t="shared" si="8"/>
        <v>6.5281562216167126</v>
      </c>
    </row>
    <row r="26" spans="1:12" x14ac:dyDescent="0.3">
      <c r="A26" s="1">
        <v>6.5</v>
      </c>
      <c r="B26">
        <v>1.31</v>
      </c>
      <c r="C26" s="2">
        <f t="shared" si="5"/>
        <v>8.5150000000000006</v>
      </c>
      <c r="E26" s="2">
        <v>4.7</v>
      </c>
      <c r="F26" s="2">
        <f t="shared" si="6"/>
        <v>3.0122727272727277</v>
      </c>
      <c r="G26" s="1">
        <f t="shared" si="7"/>
        <v>35.376074307372022</v>
      </c>
      <c r="I26">
        <v>721</v>
      </c>
      <c r="J26" s="4">
        <f t="shared" si="9"/>
        <v>6180</v>
      </c>
      <c r="L26" s="3">
        <f t="shared" si="8"/>
        <v>6.5187239944521496</v>
      </c>
    </row>
    <row r="27" spans="1:12" x14ac:dyDescent="0.3">
      <c r="A27" s="1">
        <v>5</v>
      </c>
      <c r="B27">
        <v>1.08</v>
      </c>
      <c r="C27" s="2">
        <f t="shared" si="5"/>
        <v>5.4</v>
      </c>
      <c r="E27" s="2">
        <v>3.52</v>
      </c>
      <c r="F27" s="2">
        <f t="shared" si="6"/>
        <v>1.6896</v>
      </c>
      <c r="G27" s="1">
        <f t="shared" si="7"/>
        <v>31.288888888888888</v>
      </c>
      <c r="I27">
        <v>540.70000000000005</v>
      </c>
      <c r="J27" s="4">
        <f t="shared" si="9"/>
        <v>4634.5714285714294</v>
      </c>
      <c r="L27" s="3">
        <f t="shared" si="8"/>
        <v>6.5100795265396707</v>
      </c>
    </row>
    <row r="28" spans="1:12" x14ac:dyDescent="0.3">
      <c r="A28" s="1">
        <v>3.5</v>
      </c>
      <c r="B28" s="2">
        <v>0.84</v>
      </c>
      <c r="C28" s="2">
        <f t="shared" ref="C28" si="10">A28*B28</f>
        <v>2.94</v>
      </c>
      <c r="E28" s="2">
        <v>2.363</v>
      </c>
      <c r="F28" s="2">
        <f t="shared" si="6"/>
        <v>0.76142304545454553</v>
      </c>
      <c r="G28" s="1">
        <f t="shared" si="7"/>
        <v>25.898743042671619</v>
      </c>
      <c r="I28">
        <v>364.8</v>
      </c>
      <c r="J28" s="4">
        <f t="shared" si="9"/>
        <v>3126.8571428571427</v>
      </c>
      <c r="L28" s="3">
        <f t="shared" si="8"/>
        <v>6.4775219298245608</v>
      </c>
    </row>
    <row r="33" spans="1:12" x14ac:dyDescent="0.3">
      <c r="A33" t="s">
        <v>0</v>
      </c>
      <c r="E33" t="s">
        <v>7</v>
      </c>
      <c r="F33" t="s">
        <v>18</v>
      </c>
      <c r="J33" t="s">
        <v>17</v>
      </c>
      <c r="L33" s="3"/>
    </row>
    <row r="34" spans="1:12" x14ac:dyDescent="0.3">
      <c r="A34" t="s">
        <v>1</v>
      </c>
      <c r="B34" t="s">
        <v>2</v>
      </c>
      <c r="C34" t="s">
        <v>3</v>
      </c>
      <c r="E34" t="s">
        <v>1</v>
      </c>
      <c r="F34" t="s">
        <v>3</v>
      </c>
      <c r="G34" t="s">
        <v>13</v>
      </c>
      <c r="I34" t="s">
        <v>9</v>
      </c>
      <c r="J34" t="s">
        <v>11</v>
      </c>
      <c r="L34" t="s">
        <v>16</v>
      </c>
    </row>
    <row r="35" spans="1:12" x14ac:dyDescent="0.3">
      <c r="A35" t="s">
        <v>4</v>
      </c>
      <c r="B35" t="s">
        <v>5</v>
      </c>
      <c r="C35" t="s">
        <v>6</v>
      </c>
      <c r="E35" t="s">
        <v>4</v>
      </c>
      <c r="F35" t="s">
        <v>6</v>
      </c>
      <c r="G35" t="s">
        <v>14</v>
      </c>
      <c r="I35" t="s">
        <v>10</v>
      </c>
      <c r="J35" t="s">
        <v>12</v>
      </c>
      <c r="L35" s="3"/>
    </row>
    <row r="36" spans="1:12" x14ac:dyDescent="0.3">
      <c r="L36" s="3"/>
    </row>
    <row r="37" spans="1:12" x14ac:dyDescent="0.3">
      <c r="C37" s="2"/>
      <c r="F37" s="2"/>
      <c r="G37" s="1"/>
      <c r="L37" s="3"/>
    </row>
    <row r="38" spans="1:12" x14ac:dyDescent="0.3">
      <c r="C38" s="2"/>
      <c r="F38" s="2"/>
      <c r="G38" s="1"/>
      <c r="L38" s="3"/>
    </row>
    <row r="39" spans="1:12" x14ac:dyDescent="0.3">
      <c r="A39" s="1">
        <v>12.5</v>
      </c>
      <c r="B39" s="5"/>
      <c r="C39" s="2">
        <f t="shared" ref="C39:C45" si="11">A39*B39</f>
        <v>0</v>
      </c>
      <c r="E39" s="6"/>
      <c r="F39" s="2"/>
      <c r="G39" s="1"/>
      <c r="I39" s="6"/>
      <c r="J39" s="4">
        <f>120*I39/14</f>
        <v>0</v>
      </c>
      <c r="L39" s="3"/>
    </row>
    <row r="40" spans="1:12" x14ac:dyDescent="0.3">
      <c r="A40" s="1">
        <v>11</v>
      </c>
      <c r="B40" s="5"/>
      <c r="C40" s="2">
        <f t="shared" si="11"/>
        <v>0</v>
      </c>
      <c r="E40" s="6"/>
      <c r="F40" s="2"/>
      <c r="G40" s="1"/>
      <c r="I40" s="6"/>
      <c r="J40" s="4">
        <f t="shared" ref="J40:J45" si="12">120*I40/14</f>
        <v>0</v>
      </c>
      <c r="L40" s="3"/>
    </row>
    <row r="41" spans="1:12" x14ac:dyDescent="0.3">
      <c r="A41" s="1">
        <v>9.5</v>
      </c>
      <c r="B41" s="5">
        <v>0.85</v>
      </c>
      <c r="C41" s="2">
        <f t="shared" si="11"/>
        <v>8.0749999999999993</v>
      </c>
      <c r="E41" s="5">
        <v>8.06</v>
      </c>
      <c r="F41" s="2"/>
      <c r="G41" s="1"/>
      <c r="I41" s="6">
        <v>1224</v>
      </c>
      <c r="J41" s="4">
        <f t="shared" si="12"/>
        <v>10491.428571428571</v>
      </c>
      <c r="K41">
        <f>J41/1000</f>
        <v>10.491428571428571</v>
      </c>
      <c r="L41" s="3">
        <f>E41/K41*1000</f>
        <v>768.24618736383457</v>
      </c>
    </row>
    <row r="42" spans="1:12" x14ac:dyDescent="0.3">
      <c r="A42" s="1">
        <v>8</v>
      </c>
      <c r="B42" s="5">
        <v>0.76</v>
      </c>
      <c r="C42" s="2">
        <f t="shared" si="11"/>
        <v>6.08</v>
      </c>
      <c r="E42" s="5">
        <v>6.74</v>
      </c>
      <c r="F42" s="2"/>
      <c r="G42" s="1"/>
      <c r="I42" s="6">
        <v>1023</v>
      </c>
      <c r="J42" s="4">
        <f t="shared" si="12"/>
        <v>8768.5714285714294</v>
      </c>
      <c r="K42">
        <f t="shared" ref="K42:K46" si="13">J42/1000</f>
        <v>8.7685714285714287</v>
      </c>
      <c r="L42" s="3">
        <f t="shared" ref="L42:L46" si="14">E42/K42*1000</f>
        <v>768.65428478331705</v>
      </c>
    </row>
    <row r="43" spans="1:12" x14ac:dyDescent="0.3">
      <c r="A43" s="1">
        <v>6.5</v>
      </c>
      <c r="B43" s="6">
        <v>0.67</v>
      </c>
      <c r="C43" s="2">
        <f t="shared" si="11"/>
        <v>4.3550000000000004</v>
      </c>
      <c r="E43" s="5">
        <v>5.35</v>
      </c>
      <c r="F43" s="2"/>
      <c r="G43" s="1"/>
      <c r="I43" s="6">
        <v>806.5</v>
      </c>
      <c r="J43" s="4">
        <f t="shared" si="12"/>
        <v>6912.8571428571431</v>
      </c>
      <c r="K43">
        <f t="shared" si="13"/>
        <v>6.9128571428571428</v>
      </c>
      <c r="L43" s="3">
        <f t="shared" si="14"/>
        <v>773.92023145277949</v>
      </c>
    </row>
    <row r="44" spans="1:12" x14ac:dyDescent="0.3">
      <c r="A44" s="1">
        <v>5</v>
      </c>
      <c r="B44" s="6">
        <v>0.6</v>
      </c>
      <c r="C44" s="2">
        <f t="shared" si="11"/>
        <v>3</v>
      </c>
      <c r="E44" s="5">
        <v>3.94</v>
      </c>
      <c r="F44" s="2"/>
      <c r="G44" s="1"/>
      <c r="I44" s="6">
        <v>597.98</v>
      </c>
      <c r="J44" s="4">
        <f t="shared" si="12"/>
        <v>5125.5428571428574</v>
      </c>
      <c r="K44">
        <f t="shared" si="13"/>
        <v>5.1255428571428574</v>
      </c>
      <c r="L44" s="3">
        <f t="shared" si="14"/>
        <v>768.69906462869426</v>
      </c>
    </row>
    <row r="45" spans="1:12" x14ac:dyDescent="0.3">
      <c r="A45" s="1">
        <v>3.5</v>
      </c>
      <c r="B45" s="5">
        <v>0.53</v>
      </c>
      <c r="C45" s="2">
        <f t="shared" si="11"/>
        <v>1.855</v>
      </c>
      <c r="E45" s="5">
        <v>2.67</v>
      </c>
      <c r="F45" s="2"/>
      <c r="G45" s="1"/>
      <c r="I45" s="6">
        <v>407.1</v>
      </c>
      <c r="J45" s="4">
        <f t="shared" si="12"/>
        <v>3489.4285714285716</v>
      </c>
      <c r="K45">
        <f t="shared" si="13"/>
        <v>3.4894285714285718</v>
      </c>
      <c r="L45" s="3">
        <f t="shared" si="14"/>
        <v>765.16826332596395</v>
      </c>
    </row>
    <row r="46" spans="1:12" x14ac:dyDescent="0.3">
      <c r="A46" s="1">
        <v>0</v>
      </c>
      <c r="E46" s="5">
        <v>0</v>
      </c>
      <c r="J46">
        <v>0</v>
      </c>
      <c r="K46">
        <f t="shared" si="13"/>
        <v>0</v>
      </c>
      <c r="L46" s="3" t="e">
        <f t="shared" si="14"/>
        <v>#DIV/0!</v>
      </c>
    </row>
  </sheetData>
  <pageMargins left="0.7" right="0.7" top="0.75" bottom="0.75" header="0.3" footer="0.3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5"/>
  <sheetViews>
    <sheetView tabSelected="1" workbookViewId="0">
      <selection activeCell="J50" sqref="J50"/>
    </sheetView>
  </sheetViews>
  <sheetFormatPr defaultRowHeight="14.4" x14ac:dyDescent="0.3"/>
  <sheetData>
    <row r="1" spans="1:12" x14ac:dyDescent="0.3">
      <c r="A1" t="s">
        <v>0</v>
      </c>
      <c r="E1" t="s">
        <v>7</v>
      </c>
      <c r="F1" t="s">
        <v>8</v>
      </c>
      <c r="J1" t="s">
        <v>17</v>
      </c>
    </row>
    <row r="2" spans="1:12" x14ac:dyDescent="0.3">
      <c r="A2" t="s">
        <v>1</v>
      </c>
      <c r="B2" t="s">
        <v>2</v>
      </c>
      <c r="C2" t="s">
        <v>3</v>
      </c>
      <c r="E2" t="s">
        <v>19</v>
      </c>
      <c r="F2" t="s">
        <v>3</v>
      </c>
      <c r="G2" t="s">
        <v>13</v>
      </c>
      <c r="I2" t="s">
        <v>9</v>
      </c>
      <c r="J2" t="s">
        <v>11</v>
      </c>
      <c r="L2" t="s">
        <v>16</v>
      </c>
    </row>
    <row r="3" spans="1:12" x14ac:dyDescent="0.3">
      <c r="A3" t="s">
        <v>4</v>
      </c>
      <c r="B3" t="s">
        <v>5</v>
      </c>
      <c r="C3" t="s">
        <v>6</v>
      </c>
      <c r="E3" t="s">
        <v>4</v>
      </c>
      <c r="F3" t="s">
        <v>6</v>
      </c>
      <c r="G3" t="s">
        <v>14</v>
      </c>
      <c r="I3" t="s">
        <v>10</v>
      </c>
      <c r="J3" t="s">
        <v>12</v>
      </c>
    </row>
    <row r="5" spans="1:12" x14ac:dyDescent="0.3">
      <c r="A5" s="1">
        <v>12.5</v>
      </c>
      <c r="B5" s="2">
        <v>1.1599999999999999</v>
      </c>
      <c r="C5" s="2">
        <f>A5*B5</f>
        <v>14.499999999999998</v>
      </c>
      <c r="E5" s="2">
        <v>4.29</v>
      </c>
      <c r="F5" s="2">
        <f>3*E5*E5/10</f>
        <v>5.521230000000001</v>
      </c>
      <c r="G5" s="1">
        <f>F5/C5*100</f>
        <v>38.077448275862082</v>
      </c>
      <c r="I5">
        <v>645</v>
      </c>
      <c r="J5" s="4">
        <f>120*I5/14</f>
        <v>5528.5714285714284</v>
      </c>
      <c r="K5">
        <f t="shared" ref="K5:K11" si="0">J5/1000</f>
        <v>5.5285714285714285</v>
      </c>
      <c r="L5" s="3">
        <f>E5/I5*1000</f>
        <v>6.6511627906976747</v>
      </c>
    </row>
    <row r="6" spans="1:12" x14ac:dyDescent="0.3">
      <c r="A6" s="1">
        <v>11</v>
      </c>
      <c r="B6" s="2">
        <v>1.05</v>
      </c>
      <c r="C6" s="2">
        <f t="shared" ref="C6:C11" si="1">A6*B6</f>
        <v>11.55</v>
      </c>
      <c r="E6" s="2">
        <v>3.79</v>
      </c>
      <c r="F6" s="2">
        <f t="shared" ref="F6:F12" si="2">3*E6*E6/10</f>
        <v>4.3092300000000003</v>
      </c>
      <c r="G6" s="1">
        <f t="shared" ref="G6:G11" si="3">F6/C6*100</f>
        <v>37.309350649350648</v>
      </c>
      <c r="I6">
        <v>565</v>
      </c>
      <c r="J6" s="4">
        <f t="shared" ref="J6:J11" si="4">120*I6/14</f>
        <v>4842.8571428571431</v>
      </c>
      <c r="K6">
        <f t="shared" si="0"/>
        <v>4.8428571428571434</v>
      </c>
      <c r="L6" s="3">
        <f t="shared" ref="L6:L11" si="5">E6/I6*1000</f>
        <v>6.7079646017699117</v>
      </c>
    </row>
    <row r="7" spans="1:12" x14ac:dyDescent="0.3">
      <c r="A7" s="1">
        <v>9.5</v>
      </c>
      <c r="B7" s="2">
        <v>0.97</v>
      </c>
      <c r="C7" s="2">
        <f t="shared" si="1"/>
        <v>9.2149999999999999</v>
      </c>
      <c r="E7" s="2">
        <v>3.21</v>
      </c>
      <c r="F7" s="2">
        <f t="shared" si="2"/>
        <v>3.0912299999999995</v>
      </c>
      <c r="G7" s="1">
        <f t="shared" si="3"/>
        <v>33.545632121540962</v>
      </c>
      <c r="I7">
        <v>485</v>
      </c>
      <c r="J7" s="4">
        <f t="shared" si="4"/>
        <v>4157.1428571428569</v>
      </c>
      <c r="K7">
        <f t="shared" si="0"/>
        <v>4.1571428571428566</v>
      </c>
      <c r="L7" s="3">
        <f t="shared" si="5"/>
        <v>6.6185567010309283</v>
      </c>
    </row>
    <row r="8" spans="1:12" x14ac:dyDescent="0.3">
      <c r="A8" s="1">
        <v>8</v>
      </c>
      <c r="B8" s="2">
        <v>0.87</v>
      </c>
      <c r="C8" s="2">
        <f t="shared" si="1"/>
        <v>6.96</v>
      </c>
      <c r="E8" s="2">
        <v>2.65</v>
      </c>
      <c r="F8" s="2">
        <f t="shared" si="2"/>
        <v>2.1067499999999999</v>
      </c>
      <c r="G8" s="1">
        <f t="shared" si="3"/>
        <v>30.269396551724135</v>
      </c>
      <c r="I8">
        <v>422</v>
      </c>
      <c r="J8" s="4">
        <f t="shared" si="4"/>
        <v>3617.1428571428573</v>
      </c>
      <c r="K8">
        <f t="shared" si="0"/>
        <v>3.6171428571428574</v>
      </c>
      <c r="L8" s="3">
        <f t="shared" si="5"/>
        <v>6.2796208530805684</v>
      </c>
    </row>
    <row r="9" spans="1:12" x14ac:dyDescent="0.3">
      <c r="A9" s="1">
        <v>6.5</v>
      </c>
      <c r="B9" s="2">
        <v>0.79</v>
      </c>
      <c r="C9" s="2">
        <f t="shared" si="1"/>
        <v>5.1349999999999998</v>
      </c>
      <c r="E9" s="2">
        <v>2.13</v>
      </c>
      <c r="F9" s="2">
        <f t="shared" si="2"/>
        <v>1.3610699999999998</v>
      </c>
      <c r="G9" s="1">
        <f t="shared" si="3"/>
        <v>26.505744888023365</v>
      </c>
      <c r="I9">
        <v>336</v>
      </c>
      <c r="J9" s="4">
        <f t="shared" si="4"/>
        <v>2880</v>
      </c>
      <c r="K9">
        <f t="shared" si="0"/>
        <v>2.88</v>
      </c>
      <c r="L9" s="3">
        <f t="shared" si="5"/>
        <v>6.3392857142857135</v>
      </c>
    </row>
    <row r="10" spans="1:12" x14ac:dyDescent="0.3">
      <c r="A10" s="1">
        <v>5</v>
      </c>
      <c r="B10" s="2">
        <v>0.68</v>
      </c>
      <c r="C10" s="2">
        <f t="shared" si="1"/>
        <v>3.4000000000000004</v>
      </c>
      <c r="E10" s="2">
        <v>1.56</v>
      </c>
      <c r="F10" s="2">
        <f t="shared" si="2"/>
        <v>0.73007999999999995</v>
      </c>
      <c r="G10" s="1">
        <f t="shared" si="3"/>
        <v>21.472941176470584</v>
      </c>
      <c r="I10">
        <v>235</v>
      </c>
      <c r="J10" s="4">
        <f t="shared" si="4"/>
        <v>2014.2857142857142</v>
      </c>
      <c r="K10">
        <f t="shared" si="0"/>
        <v>2.0142857142857142</v>
      </c>
      <c r="L10" s="3">
        <f t="shared" si="5"/>
        <v>6.6382978723404262</v>
      </c>
    </row>
    <row r="11" spans="1:12" x14ac:dyDescent="0.3">
      <c r="A11" s="1">
        <v>3.5</v>
      </c>
      <c r="B11" s="2">
        <v>0.6</v>
      </c>
      <c r="C11" s="2">
        <f t="shared" si="1"/>
        <v>2.1</v>
      </c>
      <c r="E11" s="2">
        <v>1.07</v>
      </c>
      <c r="F11" s="2">
        <f t="shared" si="2"/>
        <v>0.34347000000000005</v>
      </c>
      <c r="G11" s="1">
        <f t="shared" si="3"/>
        <v>16.355714285714289</v>
      </c>
      <c r="I11">
        <v>157</v>
      </c>
      <c r="J11" s="4">
        <f t="shared" si="4"/>
        <v>1345.7142857142858</v>
      </c>
      <c r="K11">
        <f t="shared" si="0"/>
        <v>1.3457142857142859</v>
      </c>
      <c r="L11" s="3">
        <f t="shared" si="5"/>
        <v>6.8152866242038215</v>
      </c>
    </row>
    <row r="12" spans="1:12" x14ac:dyDescent="0.3">
      <c r="E12" s="2">
        <v>0</v>
      </c>
      <c r="F12" s="2">
        <f t="shared" si="2"/>
        <v>0</v>
      </c>
      <c r="K12">
        <v>0</v>
      </c>
      <c r="L12" s="3"/>
    </row>
    <row r="13" spans="1:12" x14ac:dyDescent="0.3">
      <c r="L13" s="3"/>
    </row>
    <row r="14" spans="1:12" x14ac:dyDescent="0.3">
      <c r="L14" s="3"/>
    </row>
    <row r="15" spans="1:12" x14ac:dyDescent="0.3">
      <c r="L15" s="3"/>
    </row>
    <row r="16" spans="1:12" x14ac:dyDescent="0.3">
      <c r="A16" t="s">
        <v>0</v>
      </c>
      <c r="E16" t="s">
        <v>7</v>
      </c>
      <c r="F16" t="s">
        <v>15</v>
      </c>
      <c r="J16" t="s">
        <v>17</v>
      </c>
      <c r="L16" s="3"/>
    </row>
    <row r="17" spans="1:12" x14ac:dyDescent="0.3">
      <c r="A17" t="s">
        <v>1</v>
      </c>
      <c r="B17" t="s">
        <v>2</v>
      </c>
      <c r="C17" t="s">
        <v>3</v>
      </c>
      <c r="E17" t="s">
        <v>19</v>
      </c>
      <c r="F17" t="s">
        <v>3</v>
      </c>
      <c r="G17" t="s">
        <v>13</v>
      </c>
      <c r="I17" t="s">
        <v>9</v>
      </c>
      <c r="J17" t="s">
        <v>11</v>
      </c>
      <c r="L17" t="s">
        <v>16</v>
      </c>
    </row>
    <row r="18" spans="1:12" x14ac:dyDescent="0.3">
      <c r="A18" t="s">
        <v>4</v>
      </c>
      <c r="B18" t="s">
        <v>5</v>
      </c>
      <c r="C18" t="s">
        <v>6</v>
      </c>
      <c r="E18" t="s">
        <v>4</v>
      </c>
      <c r="F18" t="s">
        <v>6</v>
      </c>
      <c r="G18" t="s">
        <v>14</v>
      </c>
      <c r="I18" t="s">
        <v>10</v>
      </c>
      <c r="J18" t="s">
        <v>12</v>
      </c>
      <c r="L18" s="3"/>
    </row>
    <row r="19" spans="1:12" x14ac:dyDescent="0.3">
      <c r="L19" s="3"/>
    </row>
    <row r="20" spans="1:12" x14ac:dyDescent="0.3">
      <c r="A20">
        <v>20</v>
      </c>
      <c r="B20">
        <v>1.18</v>
      </c>
      <c r="C20" s="2">
        <f t="shared" ref="C20:C21" si="6">A20*B20</f>
        <v>23.599999999999998</v>
      </c>
      <c r="E20">
        <v>7.29</v>
      </c>
      <c r="F20" s="2">
        <f>3*E20*E20/22</f>
        <v>7.246922727272727</v>
      </c>
      <c r="G20" s="1">
        <f t="shared" ref="G20:G22" si="7">F20/C20*100</f>
        <v>30.70729969183359</v>
      </c>
      <c r="I20">
        <v>1088</v>
      </c>
      <c r="J20" s="4">
        <f>120*I20/14</f>
        <v>9325.7142857142862</v>
      </c>
      <c r="K20">
        <f>J20/1000</f>
        <v>9.3257142857142856</v>
      </c>
      <c r="L20" s="3">
        <f>E20/J20*1000</f>
        <v>0.78170955882352933</v>
      </c>
    </row>
    <row r="21" spans="1:12" x14ac:dyDescent="0.3">
      <c r="A21">
        <v>18</v>
      </c>
      <c r="B21">
        <v>1.1100000000000001</v>
      </c>
      <c r="C21" s="2">
        <f t="shared" si="6"/>
        <v>19.98</v>
      </c>
      <c r="E21">
        <v>6.52</v>
      </c>
      <c r="F21" s="2">
        <f t="shared" ref="F21:F29" si="8">3*E21*E21/22</f>
        <v>5.796872727272727</v>
      </c>
      <c r="G21" s="1">
        <f t="shared" si="7"/>
        <v>29.013377013377013</v>
      </c>
      <c r="I21">
        <v>973</v>
      </c>
      <c r="J21" s="4">
        <f t="shared" ref="J21:J28" si="9">120*I21/14</f>
        <v>8340</v>
      </c>
      <c r="K21">
        <f t="shared" ref="K21:K28" si="10">J21/1000</f>
        <v>8.34</v>
      </c>
      <c r="L21" s="3">
        <f t="shared" ref="L21:L28" si="11">E21/J21*1000</f>
        <v>0.78177458033573133</v>
      </c>
    </row>
    <row r="22" spans="1:12" x14ac:dyDescent="0.3">
      <c r="A22" s="1">
        <v>12.5</v>
      </c>
      <c r="B22" s="2">
        <v>0.87</v>
      </c>
      <c r="C22" s="2">
        <f>A22*B22</f>
        <v>10.875</v>
      </c>
      <c r="E22">
        <v>4.53</v>
      </c>
      <c r="F22" s="2">
        <f t="shared" si="8"/>
        <v>2.7983045454545454</v>
      </c>
      <c r="G22" s="1">
        <f t="shared" si="7"/>
        <v>25.731536050156738</v>
      </c>
      <c r="I22">
        <v>673</v>
      </c>
      <c r="J22" s="4">
        <f t="shared" si="9"/>
        <v>5768.5714285714284</v>
      </c>
      <c r="K22">
        <f t="shared" si="10"/>
        <v>5.7685714285714287</v>
      </c>
      <c r="L22" s="3">
        <f t="shared" si="11"/>
        <v>0.78528974739970292</v>
      </c>
    </row>
    <row r="23" spans="1:12" x14ac:dyDescent="0.3">
      <c r="A23" s="1">
        <v>11</v>
      </c>
      <c r="B23" s="2">
        <v>0.82</v>
      </c>
      <c r="C23" s="2">
        <f t="shared" ref="C23:C28" si="12">A23*B23</f>
        <v>9.02</v>
      </c>
      <c r="E23">
        <v>3.96</v>
      </c>
      <c r="F23" s="2">
        <f t="shared" si="8"/>
        <v>2.1383999999999999</v>
      </c>
      <c r="G23" s="1">
        <f t="shared" ref="G23:G28" si="13">F23/C23*100</f>
        <v>23.707317073170731</v>
      </c>
      <c r="I23">
        <v>593</v>
      </c>
      <c r="J23" s="4">
        <f t="shared" si="9"/>
        <v>5082.8571428571431</v>
      </c>
      <c r="K23">
        <f t="shared" si="10"/>
        <v>5.0828571428571427</v>
      </c>
      <c r="L23" s="3">
        <f t="shared" si="11"/>
        <v>0.77908937605396289</v>
      </c>
    </row>
    <row r="24" spans="1:12" x14ac:dyDescent="0.3">
      <c r="A24" s="1">
        <v>9.5</v>
      </c>
      <c r="B24" s="2">
        <v>0.76</v>
      </c>
      <c r="C24" s="2">
        <f t="shared" si="12"/>
        <v>7.22</v>
      </c>
      <c r="E24" s="2">
        <v>3.4</v>
      </c>
      <c r="F24" s="2">
        <f t="shared" si="8"/>
        <v>1.5763636363636364</v>
      </c>
      <c r="G24" s="1">
        <f t="shared" si="13"/>
        <v>21.833291362377235</v>
      </c>
      <c r="I24">
        <v>510</v>
      </c>
      <c r="J24" s="4">
        <f t="shared" si="9"/>
        <v>4371.4285714285716</v>
      </c>
      <c r="K24">
        <f t="shared" si="10"/>
        <v>4.3714285714285719</v>
      </c>
      <c r="L24" s="3">
        <f t="shared" si="11"/>
        <v>0.77777777777777768</v>
      </c>
    </row>
    <row r="25" spans="1:12" x14ac:dyDescent="0.3">
      <c r="A25" s="1">
        <v>8</v>
      </c>
      <c r="B25" s="2">
        <v>0.69</v>
      </c>
      <c r="C25" s="2">
        <f t="shared" si="12"/>
        <v>5.52</v>
      </c>
      <c r="E25" s="2">
        <v>2.83</v>
      </c>
      <c r="F25" s="2">
        <f t="shared" si="8"/>
        <v>1.0921227272727274</v>
      </c>
      <c r="G25" s="1">
        <f t="shared" si="13"/>
        <v>19.784832015810281</v>
      </c>
      <c r="I25">
        <v>423</v>
      </c>
      <c r="J25" s="4">
        <f t="shared" si="9"/>
        <v>3625.7142857142858</v>
      </c>
      <c r="K25">
        <f t="shared" si="10"/>
        <v>3.6257142857142859</v>
      </c>
      <c r="L25" s="3">
        <f t="shared" si="11"/>
        <v>0.78053585500394007</v>
      </c>
    </row>
    <row r="26" spans="1:12" x14ac:dyDescent="0.3">
      <c r="A26" s="1">
        <v>6.5</v>
      </c>
      <c r="B26" s="2">
        <v>0.62</v>
      </c>
      <c r="C26" s="2">
        <f t="shared" si="12"/>
        <v>4.03</v>
      </c>
      <c r="E26" s="2">
        <v>2.2599999999999998</v>
      </c>
      <c r="F26" s="2">
        <f t="shared" si="8"/>
        <v>0.69649090909090894</v>
      </c>
      <c r="G26" s="1">
        <f t="shared" si="13"/>
        <v>17.282652831039925</v>
      </c>
      <c r="I26">
        <v>337</v>
      </c>
      <c r="J26" s="4">
        <f t="shared" si="9"/>
        <v>2888.5714285714284</v>
      </c>
      <c r="K26">
        <f t="shared" si="10"/>
        <v>2.8885714285714283</v>
      </c>
      <c r="L26" s="3">
        <f t="shared" si="11"/>
        <v>0.78239366963402568</v>
      </c>
    </row>
    <row r="27" spans="1:12" x14ac:dyDescent="0.3">
      <c r="A27" s="1">
        <v>5</v>
      </c>
      <c r="B27" s="2">
        <v>0.56999999999999995</v>
      </c>
      <c r="C27" s="2">
        <f t="shared" si="12"/>
        <v>2.8499999999999996</v>
      </c>
      <c r="E27" s="2">
        <v>1.7</v>
      </c>
      <c r="F27" s="2">
        <f t="shared" si="8"/>
        <v>0.3940909090909091</v>
      </c>
      <c r="G27" s="1">
        <f t="shared" si="13"/>
        <v>13.827751196172249</v>
      </c>
      <c r="I27">
        <v>254</v>
      </c>
      <c r="J27" s="4">
        <f t="shared" si="9"/>
        <v>2177.1428571428573</v>
      </c>
      <c r="K27">
        <f t="shared" si="10"/>
        <v>2.1771428571428575</v>
      </c>
      <c r="L27" s="3">
        <f t="shared" si="11"/>
        <v>0.78083989501312323</v>
      </c>
    </row>
    <row r="28" spans="1:12" x14ac:dyDescent="0.3">
      <c r="A28" s="1">
        <v>3.5</v>
      </c>
      <c r="B28" s="2">
        <v>0.5</v>
      </c>
      <c r="C28" s="2">
        <f t="shared" si="12"/>
        <v>1.75</v>
      </c>
      <c r="E28" s="2">
        <v>1.1100000000000001</v>
      </c>
      <c r="F28" s="2">
        <f t="shared" si="8"/>
        <v>0.16801363636363639</v>
      </c>
      <c r="G28" s="1">
        <f t="shared" si="13"/>
        <v>9.6007792207792217</v>
      </c>
      <c r="I28">
        <v>166</v>
      </c>
      <c r="J28" s="4">
        <f t="shared" si="9"/>
        <v>1422.8571428571429</v>
      </c>
      <c r="K28">
        <f t="shared" si="10"/>
        <v>1.4228571428571428</v>
      </c>
      <c r="L28" s="3">
        <f t="shared" si="11"/>
        <v>0.78012048192771088</v>
      </c>
    </row>
    <row r="29" spans="1:12" x14ac:dyDescent="0.3">
      <c r="E29" s="2">
        <v>0</v>
      </c>
      <c r="F29" s="2">
        <f t="shared" si="8"/>
        <v>0</v>
      </c>
      <c r="J29">
        <v>0</v>
      </c>
      <c r="K29">
        <v>0</v>
      </c>
    </row>
    <row r="32" spans="1:12" x14ac:dyDescent="0.3">
      <c r="A32" t="s">
        <v>0</v>
      </c>
      <c r="E32" t="s">
        <v>7</v>
      </c>
      <c r="F32" t="s">
        <v>18</v>
      </c>
      <c r="J32" t="s">
        <v>17</v>
      </c>
      <c r="L32" s="3"/>
    </row>
    <row r="33" spans="1:12" x14ac:dyDescent="0.3">
      <c r="A33" t="s">
        <v>1</v>
      </c>
      <c r="B33" t="s">
        <v>2</v>
      </c>
      <c r="C33" t="s">
        <v>3</v>
      </c>
      <c r="E33" t="s">
        <v>19</v>
      </c>
      <c r="F33" t="s">
        <v>20</v>
      </c>
      <c r="G33" t="s">
        <v>13</v>
      </c>
      <c r="I33" t="s">
        <v>9</v>
      </c>
      <c r="J33" t="s">
        <v>11</v>
      </c>
      <c r="L33" t="s">
        <v>16</v>
      </c>
    </row>
    <row r="34" spans="1:12" x14ac:dyDescent="0.3">
      <c r="A34" t="s">
        <v>4</v>
      </c>
      <c r="B34" t="s">
        <v>5</v>
      </c>
      <c r="C34" t="s">
        <v>6</v>
      </c>
      <c r="E34" t="s">
        <v>4</v>
      </c>
      <c r="F34" t="s">
        <v>4</v>
      </c>
      <c r="G34" t="s">
        <v>14</v>
      </c>
      <c r="I34" t="s">
        <v>10</v>
      </c>
      <c r="J34" t="s">
        <v>12</v>
      </c>
      <c r="L34" s="3"/>
    </row>
    <row r="35" spans="1:12" x14ac:dyDescent="0.3">
      <c r="L35" s="3"/>
    </row>
    <row r="36" spans="1:12" x14ac:dyDescent="0.3">
      <c r="C36" s="2"/>
      <c r="F36" s="2"/>
      <c r="G36" s="1"/>
      <c r="L36" s="3"/>
    </row>
    <row r="37" spans="1:12" x14ac:dyDescent="0.3">
      <c r="C37" s="2"/>
      <c r="F37" s="2"/>
      <c r="G37" s="1"/>
      <c r="L37" s="3"/>
    </row>
    <row r="38" spans="1:12" x14ac:dyDescent="0.3">
      <c r="A38" s="1">
        <v>12.5</v>
      </c>
      <c r="B38" s="5">
        <v>0.62</v>
      </c>
      <c r="C38" s="2">
        <f t="shared" ref="C38:C44" si="14">A38*B38</f>
        <v>7.75</v>
      </c>
      <c r="E38" s="6">
        <v>4.7300000000000004</v>
      </c>
      <c r="F38" s="2">
        <f>E38/SQRT(3)</f>
        <v>2.7308667732669303</v>
      </c>
      <c r="G38" s="1"/>
      <c r="I38" s="6">
        <v>697</v>
      </c>
      <c r="J38" s="4">
        <f>120*I38/14</f>
        <v>5974.2857142857147</v>
      </c>
      <c r="K38">
        <f>J38/1000</f>
        <v>5.9742857142857151</v>
      </c>
      <c r="L38" s="3">
        <f>E38/J38*1000</f>
        <v>0.79172644667623149</v>
      </c>
    </row>
    <row r="39" spans="1:12" x14ac:dyDescent="0.3">
      <c r="A39" s="1">
        <v>11</v>
      </c>
      <c r="B39" s="5">
        <v>0.6</v>
      </c>
      <c r="C39" s="2">
        <f t="shared" si="14"/>
        <v>6.6</v>
      </c>
      <c r="E39" s="6">
        <v>4.1399999999999997</v>
      </c>
      <c r="F39" s="2">
        <f t="shared" ref="F39:F45" si="15">E39/SQRT(3)</f>
        <v>2.3902301144450506</v>
      </c>
      <c r="G39" s="1"/>
      <c r="I39" s="6">
        <v>612</v>
      </c>
      <c r="J39" s="4">
        <f t="shared" ref="J39:J44" si="16">120*I39/14</f>
        <v>5245.7142857142853</v>
      </c>
      <c r="K39">
        <f t="shared" ref="K39:K45" si="17">J39/1000</f>
        <v>5.2457142857142856</v>
      </c>
      <c r="L39" s="3">
        <f t="shared" ref="L39:L44" si="18">E39/J39*1000</f>
        <v>0.78921568627450978</v>
      </c>
    </row>
    <row r="40" spans="1:12" x14ac:dyDescent="0.3">
      <c r="A40" s="1">
        <v>9.5</v>
      </c>
      <c r="B40" s="5">
        <v>0.57999999999999996</v>
      </c>
      <c r="C40" s="2">
        <f t="shared" si="14"/>
        <v>5.51</v>
      </c>
      <c r="E40" s="5">
        <v>3.52</v>
      </c>
      <c r="F40" s="2">
        <f t="shared" si="15"/>
        <v>2.032272947547483</v>
      </c>
      <c r="G40" s="1"/>
      <c r="I40" s="6">
        <v>523</v>
      </c>
      <c r="J40" s="4">
        <f t="shared" si="16"/>
        <v>4482.8571428571431</v>
      </c>
      <c r="K40">
        <f t="shared" si="17"/>
        <v>4.4828571428571431</v>
      </c>
      <c r="L40" s="3">
        <f t="shared" si="18"/>
        <v>0.78521351179094956</v>
      </c>
    </row>
    <row r="41" spans="1:12" x14ac:dyDescent="0.3">
      <c r="A41" s="1">
        <v>8</v>
      </c>
      <c r="B41" s="5">
        <v>0.53</v>
      </c>
      <c r="C41" s="2">
        <f t="shared" si="14"/>
        <v>4.24</v>
      </c>
      <c r="E41" s="5">
        <v>2.93</v>
      </c>
      <c r="F41" s="2">
        <f t="shared" si="15"/>
        <v>1.6916362887256038</v>
      </c>
      <c r="G41" s="1"/>
      <c r="I41" s="6">
        <v>453</v>
      </c>
      <c r="J41" s="4">
        <f t="shared" si="16"/>
        <v>3882.8571428571427</v>
      </c>
      <c r="K41">
        <f t="shared" si="17"/>
        <v>3.8828571428571426</v>
      </c>
      <c r="L41" s="3">
        <f t="shared" si="18"/>
        <v>0.75459896983075803</v>
      </c>
    </row>
    <row r="42" spans="1:12" x14ac:dyDescent="0.3">
      <c r="A42" s="1">
        <v>6.5</v>
      </c>
      <c r="B42" s="6">
        <v>0.48</v>
      </c>
      <c r="C42" s="2">
        <f t="shared" si="14"/>
        <v>3.12</v>
      </c>
      <c r="E42" s="5">
        <v>2.38</v>
      </c>
      <c r="F42" s="2">
        <f t="shared" si="15"/>
        <v>1.3740936406713093</v>
      </c>
      <c r="G42" s="1"/>
      <c r="I42" s="6">
        <v>352</v>
      </c>
      <c r="J42" s="4">
        <f t="shared" si="16"/>
        <v>3017.1428571428573</v>
      </c>
      <c r="K42">
        <f t="shared" si="17"/>
        <v>3.0171428571428573</v>
      </c>
      <c r="L42" s="3">
        <f t="shared" si="18"/>
        <v>0.78882575757575746</v>
      </c>
    </row>
    <row r="43" spans="1:12" x14ac:dyDescent="0.3">
      <c r="A43" s="1">
        <v>5</v>
      </c>
      <c r="B43" s="6">
        <v>0.46</v>
      </c>
      <c r="C43" s="2">
        <f t="shared" si="14"/>
        <v>2.3000000000000003</v>
      </c>
      <c r="E43" s="5">
        <v>1.8</v>
      </c>
      <c r="F43" s="2">
        <f t="shared" si="15"/>
        <v>1.0392304845413265</v>
      </c>
      <c r="G43" s="1"/>
      <c r="I43" s="6">
        <v>267</v>
      </c>
      <c r="J43" s="4">
        <f t="shared" si="16"/>
        <v>2288.5714285714284</v>
      </c>
      <c r="K43">
        <f t="shared" si="17"/>
        <v>2.2885714285714283</v>
      </c>
      <c r="L43" s="3">
        <f t="shared" si="18"/>
        <v>0.78651685393258441</v>
      </c>
    </row>
    <row r="44" spans="1:12" x14ac:dyDescent="0.3">
      <c r="A44" s="1">
        <v>3.5</v>
      </c>
      <c r="B44" s="5">
        <v>0.43</v>
      </c>
      <c r="C44" s="2">
        <f t="shared" si="14"/>
        <v>1.5049999999999999</v>
      </c>
      <c r="E44" s="5">
        <v>1.1499999999999999</v>
      </c>
      <c r="F44" s="2">
        <f t="shared" si="15"/>
        <v>0.66395280956806957</v>
      </c>
      <c r="G44" s="1"/>
      <c r="I44" s="6">
        <v>171</v>
      </c>
      <c r="J44" s="4">
        <f t="shared" si="16"/>
        <v>1465.7142857142858</v>
      </c>
      <c r="K44">
        <f t="shared" si="17"/>
        <v>1.4657142857142857</v>
      </c>
      <c r="L44" s="3">
        <f t="shared" si="18"/>
        <v>0.78460038986354763</v>
      </c>
    </row>
    <row r="45" spans="1:12" x14ac:dyDescent="0.3">
      <c r="E45" s="5">
        <v>0</v>
      </c>
      <c r="F45" s="2">
        <f t="shared" si="15"/>
        <v>0</v>
      </c>
      <c r="I45" s="6">
        <v>0</v>
      </c>
      <c r="J45" s="4">
        <v>0</v>
      </c>
      <c r="K45">
        <f t="shared" si="17"/>
        <v>0</v>
      </c>
      <c r="L45" s="3" t="e">
        <f t="shared" ref="L45" si="19">E45/K45*1000</f>
        <v>#DIV/0!</v>
      </c>
    </row>
  </sheetData>
  <pageMargins left="0.7" right="0.7" top="0.75" bottom="0.75" header="0.3" footer="0.3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lille motor</vt:lpstr>
      <vt:lpstr>stor motor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Esben Larsen</dc:creator>
  <cp:lastModifiedBy>Esben Larsen</cp:lastModifiedBy>
  <dcterms:created xsi:type="dcterms:W3CDTF">2021-11-02T14:48:14Z</dcterms:created>
  <dcterms:modified xsi:type="dcterms:W3CDTF">2023-06-06T12:48:46Z</dcterms:modified>
</cp:coreProperties>
</file>